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af50aa742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a69cdd4a557541bc"/>
    <x:sheet xmlns:r="http://schemas.openxmlformats.org/officeDocument/2006/relationships" name="Valorizacion" sheetId="2" r:id="R16ba315e7b824ea0"/>
    <x:sheet xmlns:r="http://schemas.openxmlformats.org/officeDocument/2006/relationships" name="Dividendos" sheetId="3" r:id="Ra6082b87536d4b53"/>
    <x:sheet xmlns:r="http://schemas.openxmlformats.org/officeDocument/2006/relationships" name="Casos prueba" sheetId="4" r:id="Rca64046dce614d62"/>
    <x:sheet xmlns:r="http://schemas.openxmlformats.org/officeDocument/2006/relationships" name="Fuentes y supuestos" sheetId="5" r:id="Ra693e2b4c32345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#,##0"/>
    <x:numFmt numFmtId="202" formatCode="0.00%"/>
    <x:numFmt numFmtId="203" formatCode="$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0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3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1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3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1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2" fontId="0" fillId="3" borderId="0" xfId="0" applyNumberFormat="1" applyFont="1" applyFill="1" applyBorder="1"/>
    <x:xf numFmtId="202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203" fontId="0" fillId="4" borderId="0" xfId="0" applyNumberFormat="1" applyFont="1" applyFill="1" applyBorder="1" applyAlignment="1">
      <x:alignment wrapText="1"/>
    </x:xf>
    <x:xf numFmtId="202" fontId="0" fillId="3" borderId="0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202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453f56d754798" /><Relationship Type="http://schemas.openxmlformats.org/officeDocument/2006/relationships/theme" Target="/xl/theme/theme1.xml" Id="R7108016ce9104156" /><Relationship Type="http://schemas.openxmlformats.org/officeDocument/2006/relationships/sharedStrings" Target="/xl/sharedStrings.xml" Id="Rc6d9904f232a4b42" /><Relationship Type="http://schemas.openxmlformats.org/officeDocument/2006/relationships/worksheet" Target="/xl/worksheets/sheet1.xml" Id="Ra69cdd4a557541bc" /><Relationship Type="http://schemas.openxmlformats.org/officeDocument/2006/relationships/worksheet" Target="/xl/worksheets/sheet2.xml" Id="R16ba315e7b824ea0" /><Relationship Type="http://schemas.openxmlformats.org/officeDocument/2006/relationships/worksheet" Target="/xl/worksheets/sheet3.xml" Id="Ra6082b87536d4b53" /><Relationship Type="http://schemas.openxmlformats.org/officeDocument/2006/relationships/worksheet" Target="/xl/worksheets/sheet4.xml" Id="Rca64046dce614d62" /><Relationship Type="http://schemas.openxmlformats.org/officeDocument/2006/relationships/worksheet" Target="/xl/worksheets/sheet5.xml" Id="Ra693e2b4c32345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</x:cols>
  <x:sheetData>
    <x:row r="1">
      <x:c r="A1" s="4" t="str">
        <x:v>Calculadora de valorización y dividendos — v2</x:v>
      </x:c>
    </x:row>
    <x:row r="3">
      <x:c r="A3" s="8" t="str">
        <x:v>Propósito</x:v>
      </x:c>
      <x:c r="B3" s="9" t="str">
        <x:v>Practicar cálculos básicos de valorización/desvalorización y dividendos.</x:v>
      </x:c>
    </x:row>
    <x:row r="4">
      <x:c r="A4" s="8" t="str">
        <x:v>Uso</x:v>
      </x:c>
      <x:c r="B4" s="9" t="str">
        <x:v>Modifica solo las celdas marcadas en amarillo en las hojas Valorizacion y Dividendos.</x:v>
      </x:c>
    </x:row>
    <x:row r="5">
      <x:c r="A5" s="8" t="str">
        <x:v>Alcance</x:v>
      </x:c>
      <x:c r="B5" s="9" t="str">
        <x:v>Herramienta educativa. No constituye recomendación de inversión.</x:v>
      </x:c>
    </x:row>
    <x:row r="6">
      <x:c r="A6" s="8" t="str">
        <x:v>Consistencia</x:v>
      </x:c>
      <x:c r="B6" s="9" t="str">
        <x:v>Las fórmulas coinciden con P22 y P24 del Storyboard_Master_v2.md.</x:v>
      </x:c>
    </x:row>
    <x:row r="7">
      <x:c r="A7" s="8" t="str">
        <x:v>Accesibilidad</x:v>
      </x:c>
      <x:c r="B7" s="9" t="str">
        <x:v>Los resultados usan texto además de formato visual.</x:v>
      </x:c>
    </x:row>
    <x:row r="8">
      <x:c r="A8" s="8" t="str">
        <x:v>Versión</x:v>
      </x:c>
      <x:c r="B8" s="9" t="str">
        <x:v>2026-09-03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>
      <x:c r="A1" s="32" t="str">
        <x:v>Valorización / desvalorización</x:v>
      </x:c>
      <x:c r="B1" s="9"/>
      <x:c r="C1" s="9"/>
      <x:c r="D1" s="9"/>
      <x:c r="E1" s="9"/>
    </x:row>
    <x:row r="2">
      <x:c r="A2" s="9"/>
      <x:c r="B2" s="9"/>
      <x:c r="C2" s="9"/>
      <x:c r="D2" s="9"/>
      <x:c r="E2" s="9"/>
    </x:row>
    <x:row r="3">
      <x:c r="A3" s="14" t="str">
        <x:v>Campo</x:v>
      </x:c>
      <x:c r="B3" s="14" t="str">
        <x:v>Valor</x:v>
      </x:c>
      <x:c r="C3" s="9"/>
      <x:c r="D3" s="14" t="str">
        <x:v>Resultado</x:v>
      </x:c>
      <x:c r="E3" s="14" t="str">
        <x:v>Valor</x:v>
      </x:c>
    </x:row>
    <x:row r="4">
      <x:c r="A4" s="8" t="str">
        <x:v>Emisor ficticio</x:v>
      </x:c>
      <x:c r="B4" s="33" t="str">
        <x:v>Petrocaribe</x:v>
      </x:c>
      <x:c r="C4" s="9"/>
      <x:c r="D4" s="8" t="str">
        <x:v>Monto invertido</x:v>
      </x:c>
      <x:c r="E4" s="34" t="n">
        <x:f>B5*B7</x:f>
        <x:v>500000</x:v>
      </x:c>
    </x:row>
    <x:row r="5">
      <x:c r="A5" s="8" t="str">
        <x:v>Precio de compra</x:v>
      </x:c>
      <x:c r="B5" s="35" t="n">
        <x:v>1000</x:v>
      </x:c>
      <x:c r="C5" s="9"/>
      <x:c r="D5" s="8" t="str">
        <x:v>Diferencia por acción</x:v>
      </x:c>
      <x:c r="E5" s="34" t="n">
        <x:f>B6-B5</x:f>
        <x:v>500</x:v>
      </x:c>
    </x:row>
    <x:row r="6">
      <x:c r="A6" s="8" t="str">
        <x:v>Precio de venta</x:v>
      </x:c>
      <x:c r="B6" s="35" t="n">
        <x:v>1500</x:v>
      </x:c>
      <x:c r="C6" s="9"/>
      <x:c r="D6" s="8" t="str">
        <x:v>Variación porcentual</x:v>
      </x:c>
      <x:c r="E6" s="36" t="n">
        <x:f>IFERROR((B6-B5)/B5,"")</x:f>
        <x:v>0.5</x:v>
      </x:c>
    </x:row>
    <x:row r="7">
      <x:c r="A7" s="8" t="str">
        <x:v>Número de acciones</x:v>
      </x:c>
      <x:c r="B7" s="37" t="n">
        <x:v>500</x:v>
      </x:c>
      <x:c r="C7" s="9"/>
      <x:c r="D7" s="8" t="str">
        <x:v>Ganancia/pérdida por precio</x:v>
      </x:c>
      <x:c r="E7" s="34" t="n">
        <x:f>(B6-B5)*B7</x:f>
        <x:v>250000</x:v>
      </x:c>
    </x:row>
    <x:row r="8">
      <x:c r="A8" s="8" t="str">
        <x:v>Nota</x:v>
      </x:c>
      <x:c r="B8" s="9" t="str">
        <x:v>Valores didácticos; no son cotizaciones reales.</x:v>
      </x:c>
      <x:c r="C8" s="9"/>
      <x:c r="D8" s="8" t="str">
        <x:v>Monto final bruto</x:v>
      </x:c>
      <x:c r="E8" s="34" t="n">
        <x:f>B6*B7</x:f>
        <x:v>750000</x:v>
      </x:c>
    </x:row>
    <x:row r="9">
      <x:c r="A9" s="9"/>
      <x:c r="B9" s="9"/>
      <x:c r="C9" s="9"/>
      <x:c r="D9" s="8" t="str">
        <x:v>Lectura del resultado</x:v>
      </x:c>
      <x:c r="E9" s="38" t="str">
        <x:f>IF(E6&gt;0,"Valorización",IF(E6&lt;0,"Desvalorización","Sin cambio de precio"))</x:f>
        <x:v>Valorización</x:v>
      </x:c>
    </x:row>
    <x:row r="10">
      <x:c r="A10" s="9"/>
      <x:c r="B10" s="9"/>
      <x:c r="C10" s="9"/>
      <x:c r="D10" s="9"/>
      <x:c r="E10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32" t="str">
        <x:v>Dividendos</x:v>
      </x:c>
      <x:c r="B1" s="9"/>
      <x:c r="C1" s="9"/>
      <x:c r="D1" s="9"/>
      <x:c r="E1" s="9"/>
    </x:row>
    <x:row r="2">
      <x:c r="A2" s="9"/>
      <x:c r="B2" s="9"/>
      <x:c r="C2" s="9"/>
      <x:c r="D2" s="9"/>
      <x:c r="E2" s="9"/>
    </x:row>
    <x:row r="3">
      <x:c r="A3" s="14" t="str">
        <x:v>Campo</x:v>
      </x:c>
      <x:c r="B3" s="14" t="str">
        <x:v>Valor</x:v>
      </x:c>
      <x:c r="C3" s="9"/>
      <x:c r="D3" s="14" t="str">
        <x:v>Resultado</x:v>
      </x:c>
      <x:c r="E3" s="14" t="str">
        <x:v>Valor</x:v>
      </x:c>
    </x:row>
    <x:row r="4">
      <x:c r="A4" s="8" t="str">
        <x:v>Emisor ficticio</x:v>
      </x:c>
      <x:c r="B4" s="33" t="str">
        <x:v>Petrocaribe</x:v>
      </x:c>
      <x:c r="C4" s="9"/>
      <x:c r="D4" s="8" t="str">
        <x:v>Monto a repartir</x:v>
      </x:c>
      <x:c r="E4" s="52" t="n">
        <x:f>B5*B6</x:f>
        <x:v>10000000</x:v>
      </x:c>
    </x:row>
    <x:row r="5">
      <x:c r="A5" s="8" t="str">
        <x:v>Utilidad neta</x:v>
      </x:c>
      <x:c r="B5" s="35" t="n">
        <x:v>20000000</x:v>
      </x:c>
      <x:c r="C5" s="9"/>
      <x:c r="D5" s="8" t="str">
        <x:v>Dividendo por acción</x:v>
      </x:c>
      <x:c r="E5" s="52" t="n">
        <x:f>IFERROR(E4/B7,"")</x:f>
        <x:v>6666.666666666667</x:v>
      </x:c>
    </x:row>
    <x:row r="6">
      <x:c r="A6" s="8" t="str">
        <x:v>Porcentaje a repartir</x:v>
      </x:c>
      <x:c r="B6" s="53" t="n">
        <x:v>0.5</x:v>
      </x:c>
      <x:c r="C6" s="9"/>
      <x:c r="D6" s="8" t="str">
        <x:v>Dividendo estimado del estudiante</x:v>
      </x:c>
      <x:c r="E6" s="52" t="n">
        <x:f>E5*B8</x:f>
        <x:v>666666.6666666667</x:v>
      </x:c>
    </x:row>
    <x:row r="7">
      <x:c r="A7" s="8" t="str">
        <x:v>Número total de acciones</x:v>
      </x:c>
      <x:c r="B7" s="37" t="n">
        <x:v>1500</x:v>
      </x:c>
      <x:c r="C7" s="9"/>
      <x:c r="D7" s="8" t="str">
        <x:v>Lectura del resultado</x:v>
      </x:c>
      <x:c r="E7" s="38" t="str">
        <x:f>IF(E5=0,"No hay dividendo en este escenario","Dividendo estimado del ejercicio")</x:f>
        <x:v>Dividendo estimado del ejercicio</x:v>
      </x:c>
    </x:row>
    <x:row r="8">
      <x:c r="A8" s="8" t="str">
        <x:v>Acciones que posees</x:v>
      </x:c>
      <x:c r="B8" s="37" t="n">
        <x:v>100</x:v>
      </x:c>
      <x:c r="C8" s="9"/>
      <x:c r="D8" s="9"/>
      <x:c r="E8" s="9"/>
    </x:row>
    <x:row r="9">
      <x:c r="A9" s="8" t="str">
        <x:v>Nota</x:v>
      </x:c>
      <x:c r="B9" s="9" t="str">
        <x:v>El dividendo no está garantizado; depende de utilidades y decisión societaria.</x:v>
      </x:c>
      <x:c r="C9" s="9"/>
      <x:c r="D9" s="9"/>
      <x:c r="E9" s="9"/>
    </x:row>
    <x:row r="10">
      <x:c r="A10" s="9"/>
      <x:c r="B10" s="9"/>
      <x:c r="C10" s="9"/>
      <x:c r="D10" s="9"/>
      <x:c r="E10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Casos de prueba</x:v>
      </x:c>
    </x:row>
    <x:row r="3">
      <x:c r="A3" s="14" t="str">
        <x:v>Tipo</x:v>
      </x:c>
      <x:c r="B3" s="14" t="str">
        <x:v>Input 1</x:v>
      </x:c>
      <x:c r="C3" s="14" t="str">
        <x:v>Input 2</x:v>
      </x:c>
      <x:c r="D3" s="14" t="str">
        <x:v>Input 3</x:v>
      </x:c>
      <x:c r="E3" s="14" t="str">
        <x:v>Input 4</x:v>
      </x:c>
      <x:c r="F3" s="14" t="str">
        <x:v>Resultado esperado</x:v>
      </x:c>
      <x:c r="G3" s="14" t="str">
        <x:v>Pantalla</x:v>
      </x:c>
      <x:c r="H3" s="14" t="str">
        <x:v>Estado</x:v>
      </x:c>
    </x:row>
    <x:row r="4">
      <x:c r="A4" s="9" t="str">
        <x:v>Valorización</x:v>
      </x:c>
      <x:c r="B4" s="9" t="str">
        <x:v>Compra $1.000</x:v>
      </x:c>
      <x:c r="C4" s="9" t="str">
        <x:v>Venta $1.500</x:v>
      </x:c>
      <x:c r="D4" s="9" t="str">
        <x:v>500 acciones</x:v>
      </x:c>
      <x:c r="E4" s="9" t="str"/>
      <x:c r="F4" s="9" t="str">
        <x:v>50%; $250.000</x:v>
      </x:c>
      <x:c r="G4" s="9" t="str">
        <x:v>P22</x:v>
      </x:c>
      <x:c r="H4" s="9" t="str">
        <x:v>OK</x:v>
      </x:c>
    </x:row>
    <x:row r="5">
      <x:c r="A5" s="9" t="str">
        <x:v>Desvalorización</x:v>
      </x:c>
      <x:c r="B5" s="9" t="str">
        <x:v>Compra $1.000</x:v>
      </x:c>
      <x:c r="C5" s="9" t="str">
        <x:v>Venta $800</x:v>
      </x:c>
      <x:c r="D5" s="9" t="str">
        <x:v>500 acciones</x:v>
      </x:c>
      <x:c r="E5" s="9" t="str"/>
      <x:c r="F5" s="9" t="str">
        <x:v>-20%; -$100.000</x:v>
      </x:c>
      <x:c r="G5" s="9" t="str">
        <x:v>P22</x:v>
      </x:c>
      <x:c r="H5" s="9" t="str">
        <x:v>OK</x:v>
      </x:c>
    </x:row>
    <x:row r="6">
      <x:c r="A6" s="9" t="str">
        <x:v>Sin cambio</x:v>
      </x:c>
      <x:c r="B6" s="9" t="str">
        <x:v>Compra $1.000</x:v>
      </x:c>
      <x:c r="C6" s="9" t="str">
        <x:v>Venta $1.000</x:v>
      </x:c>
      <x:c r="D6" s="9" t="str">
        <x:v>500 acciones</x:v>
      </x:c>
      <x:c r="E6" s="9" t="str"/>
      <x:c r="F6" s="9" t="str">
        <x:v>0%; $0</x:v>
      </x:c>
      <x:c r="G6" s="9" t="str">
        <x:v>P22</x:v>
      </x:c>
      <x:c r="H6" s="9" t="str">
        <x:v>OK</x:v>
      </x:c>
    </x:row>
    <x:row r="7">
      <x:c r="A7" s="9" t="str">
        <x:v>Dividendo</x:v>
      </x:c>
      <x:c r="B7" s="9" t="str">
        <x:v>$20.000.000</x:v>
      </x:c>
      <x:c r="C7" s="9" t="str">
        <x:v>50%</x:v>
      </x:c>
      <x:c r="D7" s="9" t="str">
        <x:v>1.500 acciones</x:v>
      </x:c>
      <x:c r="E7" s="9" t="str">
        <x:v>100 acciones propias</x:v>
      </x:c>
      <x:c r="F7" s="9" t="str">
        <x:v>$6.666,67 por acción; $666.666,67</x:v>
      </x:c>
      <x:c r="G7" s="9" t="str">
        <x:v>P24</x:v>
      </x:c>
      <x:c r="H7" s="9" t="str">
        <x:v>OK</x:v>
      </x:c>
    </x:row>
    <x:row r="8">
      <x:c r="A8" s="9" t="str">
        <x:v>Dividendo cero</x:v>
      </x:c>
      <x:c r="B8" s="9" t="str">
        <x:v>$5.000.000</x:v>
      </x:c>
      <x:c r="C8" s="9" t="str">
        <x:v>0%</x:v>
      </x:c>
      <x:c r="D8" s="9" t="str">
        <x:v>1.500 acciones</x:v>
      </x:c>
      <x:c r="E8" s="9" t="str">
        <x:v>100 acciones propias</x:v>
      </x:c>
      <x:c r="F8" s="9" t="str">
        <x:v>$0</x:v>
      </x:c>
      <x:c r="G8" s="9" t="str">
        <x:v>P24</x:v>
      </x:c>
      <x:c r="H8" s="9" t="str">
        <x:v>OK</x:v>
      </x:c>
    </x:row>
    <x:row r="9">
      <x:c r="A9" s="9" t="str">
        <x:v>Dividendo guion</x:v>
      </x:c>
      <x:c r="B9" s="9" t="str">
        <x:v>$40.000.000</x:v>
      </x:c>
      <x:c r="C9" s="9" t="str">
        <x:v>30%</x:v>
      </x:c>
      <x:c r="D9" s="9" t="str">
        <x:v>3.600 acciones</x:v>
      </x:c>
      <x:c r="E9" s="9" t="str">
        <x:v>100 acciones propias</x:v>
      </x:c>
      <x:c r="F9" s="9" t="str">
        <x:v>$3.333,33 por acción; $333.333,33</x:v>
      </x:c>
      <x:c r="G9" s="9" t="str">
        <x:v>P24</x:v>
      </x:c>
      <x:c r="H9" s="9" t="str">
        <x:v>OK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Fuentes y supuestos</x:v>
      </x:c>
    </x:row>
    <x:row r="3">
      <x:c r="A3" s="14" t="str">
        <x:v>Elemento</x:v>
      </x:c>
      <x:c r="B3" s="14" t="str">
        <x:v>Fuente</x:v>
      </x:c>
      <x:c r="C3" s="14" t="str">
        <x:v>URL / referencia</x:v>
      </x:c>
      <x:c r="D3" s="14" t="str">
        <x:v>Fecha consulta</x:v>
      </x:c>
      <x:c r="E3" s="14" t="str">
        <x:v>Uso</x:v>
      </x:c>
      <x:c r="F3" s="14" t="str">
        <x:v>Nota</x:v>
      </x:c>
    </x:row>
    <x:row r="4">
      <x:c r="A4" s="9" t="str">
        <x:v>Guion fuente</x:v>
      </x:c>
      <x:c r="B4" s="9" t="str">
        <x:v>Guion_Curso como invertir en acciones.docx</x:v>
      </x:c>
      <x:c r="C4" s="9" t="str">
        <x:v>/mnt/data/Guion_Curso  como invertir en acciones.docx</x:v>
      </x:c>
      <x:c r="D4" s="9" t="str">
        <x:v>2026-09-03</x:v>
      </x:c>
      <x:c r="E4" s="9" t="str">
        <x:v>Conceptos base</x:v>
      </x:c>
      <x:c r="F4" s="9" t="str"/>
    </x:row>
    <x:row r="5">
      <x:c r="A5" s="9" t="str">
        <x:v>Brief</x:v>
      </x:c>
      <x:c r="B5" s="9" t="str">
        <x:v>BRIEF-DI-v2_nuam.md</x:v>
      </x:c>
      <x:c r="C5" s="9" t="str">
        <x:v>/mnt/data/BRIEF-DI-v2_nuam.md</x:v>
      </x:c>
      <x:c r="D5" s="9" t="str">
        <x:v>2026-09-03</x:v>
      </x:c>
      <x:c r="E5" s="9" t="str">
        <x:v>Reglas v2</x:v>
      </x:c>
      <x:c r="F5" s="9" t="str"/>
    </x:row>
    <x:row r="6">
      <x:c r="A6" s="9" t="str">
        <x:v>Fórmula valorización</x:v>
      </x:c>
      <x:c r="B6" s="9" t="str">
        <x:v>Storyboard_Master_v2.md</x:v>
      </x:c>
      <x:c r="C6" s="9" t="str">
        <x:v>P22</x:v>
      </x:c>
      <x:c r="D6" s="9" t="str">
        <x:v>2026-09-03</x:v>
      </x:c>
      <x:c r="E6" s="9" t="str">
        <x:v>Consistencia curso-Excel</x:v>
      </x:c>
      <x:c r="F6" s="9" t="str"/>
    </x:row>
    <x:row r="7">
      <x:c r="A7" s="9" t="str">
        <x:v>Fórmula dividendos</x:v>
      </x:c>
      <x:c r="B7" s="9" t="str">
        <x:v>Storyboard_Master_v2.md</x:v>
      </x:c>
      <x:c r="C7" s="9" t="str">
        <x:v>P24</x:v>
      </x:c>
      <x:c r="D7" s="9" t="str">
        <x:v>2026-09-03</x:v>
      </x:c>
      <x:c r="E7" s="9" t="str">
        <x:v>Consistencia curso-Excel</x:v>
      </x:c>
      <x:c r="F7" s="9" t="str"/>
    </x:row>
    <x:row r="8">
      <x:c r="A8" s="9" t="str">
        <x:v>Emisores ficticios</x:v>
      </x:c>
      <x:c r="B8" s="9" t="str">
        <x:v>Ficha maestra</x:v>
      </x:c>
      <x:c r="C8" s="9" t="str">
        <x:v>Storyboard_Master_v2.md</x:v>
      </x:c>
      <x:c r="D8" s="9" t="str">
        <x:v>2026-09-03</x:v>
      </x:c>
      <x:c r="E8" s="9" t="str">
        <x:v>Evitar recomendación</x:v>
      </x:c>
      <x:c r="F8" s="9" t="str">
        <x:v>No usar como emisores reales</x:v>
      </x:c>
    </x:row>
    <x:row r="9">
      <x:c r="A9" s="9" t="str">
        <x:v>Advertencia</x:v>
      </x:c>
      <x:c r="B9" s="9" t="str">
        <x:v>Diseño instruccional</x:v>
      </x:c>
      <x:c r="C9" s="9" t="str">
        <x:v>N/A</x:v>
      </x:c>
      <x:c r="D9" s="9" t="str">
        <x:v>2026-09-03</x:v>
      </x:c>
      <x:c r="E9" s="9" t="str">
        <x:v>Educación financiera</x:v>
      </x:c>
      <x:c r="F9" s="9" t="str">
        <x:v>No constituye asesoría ni recomendación</x:v>
      </x:c>
    </x:row>
  </x:sheetData>
  <x:pageMargins left="0.7" right="0.7" top="0.75" bottom="0.75" header="0.3" footer="0.3"/>
</x:worksheet>
</file>